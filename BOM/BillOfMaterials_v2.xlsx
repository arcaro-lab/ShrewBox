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filterPrivacy="1" defaultThemeVersion="124226"/>
  <xr:revisionPtr revIDLastSave="0" documentId="13_ncr:1_{7225A8DE-B7E1-D241-B4A9-E662CACDC0A3}" xr6:coauthVersionLast="47" xr6:coauthVersionMax="47" xr10:uidLastSave="{00000000-0000-0000-0000-000000000000}"/>
  <bookViews>
    <workbookView xWindow="1440" yWindow="600" windowWidth="34400" windowHeight="20320" xr2:uid="{00000000-000D-0000-FFFF-FFFF00000000}"/>
  </bookViews>
  <sheets>
    <sheet name="BOM" sheetId="1" r:id="rId1"/>
    <sheet name="AcrylicShee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A27" i="1"/>
  <c r="F18" i="1"/>
  <c r="F17" i="1"/>
  <c r="F16" i="1"/>
  <c r="F15" i="1"/>
  <c r="F14" i="1"/>
  <c r="A14" i="1"/>
  <c r="A15" i="1" s="1"/>
  <c r="A16" i="1" s="1"/>
  <c r="A17" i="1" s="1"/>
  <c r="A18" i="1" s="1"/>
  <c r="A19" i="1" s="1"/>
  <c r="F13" i="1"/>
  <c r="F56" i="1"/>
  <c r="F55" i="1"/>
  <c r="F49" i="1"/>
  <c r="F9" i="1" l="1"/>
  <c r="F8" i="1"/>
  <c r="F37" i="1"/>
  <c r="F38" i="1"/>
  <c r="F39" i="1"/>
  <c r="F40" i="1"/>
  <c r="F41" i="1"/>
  <c r="F42" i="1"/>
  <c r="F43" i="1"/>
  <c r="F44" i="1"/>
  <c r="F45" i="1"/>
  <c r="F36" i="1"/>
  <c r="F31" i="1"/>
  <c r="F25" i="1"/>
  <c r="F26" i="1"/>
  <c r="F24" i="1"/>
  <c r="A32" i="1"/>
  <c r="F4" i="1"/>
  <c r="F5" i="1"/>
  <c r="F6" i="1"/>
  <c r="F7" i="1"/>
  <c r="F3" i="1"/>
  <c r="A25" i="1"/>
  <c r="A26" i="1" s="1"/>
  <c r="A4" i="1"/>
  <c r="A5" i="1" s="1"/>
  <c r="A6" i="1" s="1"/>
  <c r="A7" i="1" s="1"/>
  <c r="A8" i="1" s="1"/>
  <c r="A9" i="1" s="1"/>
  <c r="F60" i="1" l="1"/>
</calcChain>
</file>

<file path=xl/sharedStrings.xml><?xml version="1.0" encoding="utf-8"?>
<sst xmlns="http://schemas.openxmlformats.org/spreadsheetml/2006/main" count="285" uniqueCount="166">
  <si>
    <t>Mechnical</t>
  </si>
  <si>
    <t>Item</t>
  </si>
  <si>
    <t>Description</t>
  </si>
  <si>
    <t>Qty</t>
  </si>
  <si>
    <t>Unit Price</t>
  </si>
  <si>
    <t>Part Number</t>
  </si>
  <si>
    <t>Cost</t>
  </si>
  <si>
    <t>Supplier</t>
  </si>
  <si>
    <t>Link</t>
  </si>
  <si>
    <t>McMaster</t>
  </si>
  <si>
    <t>Electronics</t>
  </si>
  <si>
    <t>https://www.digikey.com/en/products/detail/adafruit-industries-llc/4540/12323569</t>
  </si>
  <si>
    <t>STRAIN GAUGE LOAD CELL - 4 WIRES - 1KG</t>
  </si>
  <si>
    <t>Total</t>
  </si>
  <si>
    <t>https://www.mcmaster.com/8505K755-8505K927/</t>
  </si>
  <si>
    <t>Cast Acrylic Sheet, 12"x24"x1/4" White</t>
  </si>
  <si>
    <t>8505K755</t>
  </si>
  <si>
    <t>3D Printed Parts (3xSyringe Pump, Circular Entrance)</t>
  </si>
  <si>
    <t>Custom</t>
  </si>
  <si>
    <t>FrontPanel</t>
  </si>
  <si>
    <t>Name</t>
  </si>
  <si>
    <t>Quantity</t>
  </si>
  <si>
    <t>LeftPanel</t>
  </si>
  <si>
    <t>FrontWindow</t>
  </si>
  <si>
    <t>RightPanel</t>
  </si>
  <si>
    <t>TopCover</t>
  </si>
  <si>
    <t>TopWindow</t>
  </si>
  <si>
    <t>BackPanel</t>
  </si>
  <si>
    <t>EBoxCover</t>
  </si>
  <si>
    <t>EBoxFrontPanel</t>
  </si>
  <si>
    <t>EBoxTopPanel</t>
  </si>
  <si>
    <t>EBoxBottomPanel</t>
  </si>
  <si>
    <t>WeightFloor</t>
  </si>
  <si>
    <t>BottomPanelA</t>
  </si>
  <si>
    <t>BottomPanelB</t>
  </si>
  <si>
    <t>BottomPanelConnector</t>
  </si>
  <si>
    <t>BottomGuide</t>
  </si>
  <si>
    <t>JuiceTrayBottom</t>
  </si>
  <si>
    <t>JuiceTraySideA</t>
  </si>
  <si>
    <t>JuiceTraySideB</t>
  </si>
  <si>
    <t>GuardPanel</t>
  </si>
  <si>
    <t>EBoxSepA</t>
  </si>
  <si>
    <t>EBocSepB</t>
  </si>
  <si>
    <t>EBoxSepC</t>
  </si>
  <si>
    <t>GuageSpacer</t>
  </si>
  <si>
    <t>Thickness (inch)</t>
  </si>
  <si>
    <t>1/4</t>
  </si>
  <si>
    <t>1/8</t>
  </si>
  <si>
    <t>https://www.mcmaster.com/8589K11/</t>
  </si>
  <si>
    <t>Clear Scratch- and UV-Resistant Acrylic Sheet, 12" x 12" x 1/16"</t>
  </si>
  <si>
    <t>8589K11</t>
  </si>
  <si>
    <t>Syringe Pump</t>
  </si>
  <si>
    <t>Digikey</t>
  </si>
  <si>
    <t>https://www.digikey.com/en/products/detail/arduino/A000005/2638989</t>
  </si>
  <si>
    <t>ARDUINO NANO ATMEGA328 EVAL BRD</t>
  </si>
  <si>
    <t>1050-1001-ND</t>
  </si>
  <si>
    <t>Toggle Switch SPDT Panel Mount</t>
  </si>
  <si>
    <t>https://www.digikey.com/en/products/detail/raspberry-pi/RASPBERRY-PI-4B-4GB/10258781</t>
  </si>
  <si>
    <t>2648-SC0194(9)-ND</t>
  </si>
  <si>
    <t>RASPBERRY PI 4 B 4GB</t>
  </si>
  <si>
    <t>Scale</t>
  </si>
  <si>
    <t>Capacitive Sensor</t>
  </si>
  <si>
    <t>https://www.digikey.com/en/products/detail/seeed-technology-co-ltd/102010328/11506471</t>
  </si>
  <si>
    <t>SEEEDSTUDIO XIAO SAMD21 NO HDRS</t>
  </si>
  <si>
    <t>1597-102010328-ND</t>
  </si>
  <si>
    <t>1528-4540-ND</t>
  </si>
  <si>
    <t>Controller and Power</t>
  </si>
  <si>
    <t>https://www.amazon.com/gp/product/B0CS6FMXH5</t>
  </si>
  <si>
    <t>5 Ft Small Power Strip with 3 Outlets and 3 USB Ports(2 USB C)</t>
  </si>
  <si>
    <t>Amazon</t>
  </si>
  <si>
    <t>B0CS6FMXH5</t>
  </si>
  <si>
    <t>https://www.amazon.com/Charging-Braided-iPhone-Samsung-Galaxy/dp/B0DPF8TFC9?th=1</t>
  </si>
  <si>
    <t>B0DPF8TFC9</t>
  </si>
  <si>
    <t>https://www.amazon.com/StarTech-com-6in-Mini-USB-Cable/dp/B003WV5DME</t>
  </si>
  <si>
    <t>0.5ft USB A to USB C Cable (For Power Raspberry pi and Teensy)</t>
  </si>
  <si>
    <t>USB to Mini USB Cable (for Arduino NANO)</t>
  </si>
  <si>
    <t>B003WV5DME</t>
  </si>
  <si>
    <t>Custom made PCB (use gerber file from the SOURCE folder)</t>
  </si>
  <si>
    <t>B09TP2S2WY</t>
  </si>
  <si>
    <t>https://www.amazon.com/Bracket-Brackets-Furniture-Cabinet-20mmx20mm/dp/B09TP2S2WY</t>
  </si>
  <si>
    <t>Spring hasp Toolbox Toggle latches Lock (6 pcs)</t>
  </si>
  <si>
    <t>L Bracket Corner Brace (40 pcs)</t>
  </si>
  <si>
    <t>B0CNZSB7JR</t>
  </si>
  <si>
    <t>https://www.amazon.com/Toolbox-latches-Lock%EF%BC%8CStainless-SteelToolbox-Compression/dp/B0CNZSB7JR</t>
  </si>
  <si>
    <t>Door Hinges</t>
  </si>
  <si>
    <t>B0882STR1H</t>
  </si>
  <si>
    <t>https://www.amazon.com/Commercial-Residential-Stainless-Steel-Bearing-2pack/dp/B0882STR1H</t>
  </si>
  <si>
    <t>ShrewBox</t>
  </si>
  <si>
    <t>Cast Acrylic Sheet, 12" x 12" x 1/8", Green</t>
  </si>
  <si>
    <t>Cast Acrylic Sheet, 12" x 12" x 1/8", White</t>
  </si>
  <si>
    <t>8505K741</t>
  </si>
  <si>
    <t>https://www.mcmaster.com/8505K741-8505K115/</t>
  </si>
  <si>
    <t>https://www.mcmaster.com/8505K741-8505K117/</t>
  </si>
  <si>
    <t>https://www.mcmaster.com/91772A108/</t>
  </si>
  <si>
    <t>https://www.mcmaster.com/91772A110/</t>
  </si>
  <si>
    <t>Passivated 18-8 Stainless Steel Pan Head Phillips Screw4-40 Thread, 3/8" Long (100 pcs)</t>
  </si>
  <si>
    <t>Passivated 18-8 Stainless Steel Pan Head Phillips Screw4-40 Thread, 1/2" Long (100 pcs)</t>
  </si>
  <si>
    <t>91772A110</t>
  </si>
  <si>
    <t>91772A108</t>
  </si>
  <si>
    <t>https://www.mcmaster.com/91841A005/</t>
  </si>
  <si>
    <t>18-8 Stainless Steel Hex Nut 4-40 Thread Size (100 pcs)</t>
  </si>
  <si>
    <t>91841A005</t>
  </si>
  <si>
    <t>https://www.amazon.com/uxcell-Thread-Knurled-Clamping-Knobs/dp/B07KPGBXFC/?th=1</t>
  </si>
  <si>
    <t>B07KPGBXFC</t>
  </si>
  <si>
    <t>M5 x 20mm Metric Male Thread Knurled Clamping Knobs (8 pcs) (For secure syringe)</t>
  </si>
  <si>
    <t>https://www.amazon.com/AiFeelife-Portable-Universal-Expandable-Adjustable/dp/B0CTCNC1P1</t>
  </si>
  <si>
    <t>B0CTCNC1P1</t>
  </si>
  <si>
    <t>Screen Desk Holder Metal Stand 16 Inch</t>
  </si>
  <si>
    <t>https://www.amazon.com/AOPEN-Business-Portable-External-Speakers/dp/B0CJQ841VW?th=1</t>
  </si>
  <si>
    <t xml:space="preserve">Acer 16PM1Q Bbmiuux 15.6" Full HD 1920 x 1080 IPS Portable Monitor </t>
  </si>
  <si>
    <t>B0CJQ841VW</t>
  </si>
  <si>
    <t>https://www.amazon.com/Stepper-Motor-Bipolar-64oz-Printer/dp/B00PNEQI7W</t>
  </si>
  <si>
    <t>B00PNEQI7W</t>
  </si>
  <si>
    <t>STEPPERONLINE Stepper Motor Nema 17 Bipolar 40mm 64oz.in(45Ncm) 2A,  17HS16-2004S</t>
  </si>
  <si>
    <t>B07M5Q7HTV</t>
  </si>
  <si>
    <t>B0BLBLBP93</t>
  </si>
  <si>
    <t>https://www.amazon.com/Teyleten-Robot-TMC2209-Stepper-StepStick/dp/B09BK57KNY</t>
  </si>
  <si>
    <t>TMC2209 V2.0 Stepper Motor Driver (pack of 5)</t>
  </si>
  <si>
    <t>B09BK57KNY</t>
  </si>
  <si>
    <t>https://www.amazon.com/HiLetgo-Terminals-Position-Toggle-MTS-103/dp/B079JG2YSM</t>
  </si>
  <si>
    <t>B079JG2YSM</t>
  </si>
  <si>
    <t>https://www.amazon.com/Rindion-Compatible-Prototype-Electronics-Soldering/dp/B0DBZ1BXFZ</t>
  </si>
  <si>
    <t>B0DBZ1BXFZ</t>
  </si>
  <si>
    <t>https://www.amazon.com/2-54MM-Breakaway-Connector-Arduino-Prototype/dp/B08DVGCTKT/</t>
  </si>
  <si>
    <t>B08DVGCTKT</t>
  </si>
  <si>
    <t>40PCS 2.54MM Male and Female Header Pin</t>
  </si>
  <si>
    <t>https://www.amazon.com/California-JOS-Breadboard-Friendly-Mounting-Female/dp/B09XH1XJZT/?th=1</t>
  </si>
  <si>
    <t>Breadboard-Friendly 2.1mm PCB Mounting Female DC Power Barrel Jack (10 PCS)</t>
  </si>
  <si>
    <t>B09XH1XJZT</t>
  </si>
  <si>
    <t>Color</t>
  </si>
  <si>
    <t>White</t>
  </si>
  <si>
    <t>1/8 or 1/4</t>
  </si>
  <si>
    <t>Clear</t>
  </si>
  <si>
    <t>Green</t>
  </si>
  <si>
    <t>SyringePump (New, Larger Stepper NEMA 17, short rail)</t>
  </si>
  <si>
    <t xml:space="preserve">Fully Threaded Rod, M5-0.8 Thread Pitch, 100mm Length 304 Stainless Steel </t>
  </si>
  <si>
    <t>https://www.amazon.com/dp/B096KXQTYQ</t>
  </si>
  <si>
    <t>https://www.amazon.com/dp/B0DPH23KP1</t>
  </si>
  <si>
    <t>304 Stainless Steel Round Rods, 5mm x 120mm Solid Shaft Rods</t>
  </si>
  <si>
    <t>B0DPH23KP1</t>
  </si>
  <si>
    <t>https://www.amazon.com/dp/B0CR41WZG2</t>
  </si>
  <si>
    <t>B0CR41WZG2</t>
  </si>
  <si>
    <t>LM5UU Linear Ball Bearings, 5mm Bore Dia, 10mm OD,15mm Length</t>
  </si>
  <si>
    <t>B096KXQTYQ</t>
  </si>
  <si>
    <t>Flexible Couplings 5mm to 5mm</t>
  </si>
  <si>
    <t>https://www.amazon.com/dp/B07M5Q7HTV</t>
  </si>
  <si>
    <t>Hex Nuts, M5-0.8 Stainless Steel 304 (18-8) Hex Nut</t>
  </si>
  <si>
    <t>https://www.amazon.com/dp/B0BLBLBP93</t>
  </si>
  <si>
    <t>https://www.amazon.com/Assortment-Internal-Washers-Stainless-Threaded/dp/B0FHHL1W3X/</t>
  </si>
  <si>
    <t>B0FHHL1W3X</t>
  </si>
  <si>
    <t>M3 Hex Socket Head Cap Screws Assortment Kit, M3x 6/8/10/12/16/20/25/30mm</t>
  </si>
  <si>
    <t>LockStand</t>
  </si>
  <si>
    <t>CameraStand</t>
  </si>
  <si>
    <t>Custom PCB</t>
  </si>
  <si>
    <t>Seeed Studio XIAO nRF52840 Plus</t>
  </si>
  <si>
    <t>1597-102010672-ND</t>
  </si>
  <si>
    <t>https://www.digikey.com/en/products/detail/seeed-technology-co-ltd/102010672/26553862</t>
  </si>
  <si>
    <t>https://www.digikey.com/en/products/detail/adafruit-industries-llc/5691/18627502</t>
  </si>
  <si>
    <t>ESP32-S3 REVERSE TFT FEATHER</t>
  </si>
  <si>
    <t>1528-5691-ND</t>
  </si>
  <si>
    <t>1528-4538-ND</t>
  </si>
  <si>
    <t>https://www.digikey.com/en/products/detail/adafruit-industries-llc/4538/16584123</t>
  </si>
  <si>
    <t xml:space="preserve">NAU7802 Analog to Digital Converter (ADC) Data Acquisition </t>
  </si>
  <si>
    <t>1528-4399-ND</t>
  </si>
  <si>
    <t>4 Position Cable Assembly Rectangular Socket to Socket 0.164' (50.00mm, 1.97")</t>
  </si>
  <si>
    <t>https://www.digikey.com/en/products/detail/adafruit-industries-llc/4399/10824268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</si>
</sst>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1" applyBorder="1"/>
    <xf numFmtId="0" fontId="0" fillId="0" borderId="1" xfId="0" applyBorder="1" applyAlignment="1">
      <alignment horizontal="right"/>
    </xf>
    <xf numFmtId="0" fontId="1" fillId="0" borderId="1" xfId="1" applyFill="1" applyBorder="1"/>
    <xf numFmtId="0" fontId="1" fillId="0" borderId="0" xfId="1" applyFill="1" applyBorder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4" xfId="0" applyFont="1" applyBorder="1"/>
    <xf numFmtId="0" fontId="1" fillId="0" borderId="4" xfId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1" xfId="0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Commercial-Residential-Stainless-Steel-Bearing-2pack/dp/B0882STR1H" TargetMode="External"/><Relationship Id="rId18" Type="http://schemas.openxmlformats.org/officeDocument/2006/relationships/hyperlink" Target="https://www.mcmaster.com/91772A110/" TargetMode="External"/><Relationship Id="rId26" Type="http://schemas.openxmlformats.org/officeDocument/2006/relationships/hyperlink" Target="https://www.amazon.com/dp/B07M5Q7HTV" TargetMode="External"/><Relationship Id="rId3" Type="http://schemas.openxmlformats.org/officeDocument/2006/relationships/hyperlink" Target="https://www.digikey.com/en/products/detail/arduino/A000005/2638989" TargetMode="External"/><Relationship Id="rId21" Type="http://schemas.openxmlformats.org/officeDocument/2006/relationships/hyperlink" Target="https://www.amazon.com/AOPEN-Business-Portable-External-Speakers/dp/B0CJQ841VW?th=1" TargetMode="External"/><Relationship Id="rId34" Type="http://schemas.openxmlformats.org/officeDocument/2006/relationships/hyperlink" Target="https://www.digikey.com/en/products/detail/seeed-technology-co-ltd/102010672/26553862" TargetMode="External"/><Relationship Id="rId7" Type="http://schemas.openxmlformats.org/officeDocument/2006/relationships/hyperlink" Target="https://www.digikey.com/en/products/detail/adafruit-industries-llc/4538/16584123" TargetMode="External"/><Relationship Id="rId12" Type="http://schemas.openxmlformats.org/officeDocument/2006/relationships/hyperlink" Target="https://www.amazon.com/Toolbox-latches-Lock%EF%BC%8CStainless-SteelToolbox-Compression/dp/B0CNZSB7JR" TargetMode="External"/><Relationship Id="rId17" Type="http://schemas.openxmlformats.org/officeDocument/2006/relationships/hyperlink" Target="https://www.mcmaster.com/91772A108/" TargetMode="External"/><Relationship Id="rId25" Type="http://schemas.openxmlformats.org/officeDocument/2006/relationships/hyperlink" Target="https://www.amazon.com/dp/B0CR41WZG2" TargetMode="External"/><Relationship Id="rId33" Type="http://schemas.openxmlformats.org/officeDocument/2006/relationships/hyperlink" Target="https://www.amazon.com/Rindion-Compatible-Prototype-Electronics-Soldering/dp/B0DBZ1BXFZ" TargetMode="External"/><Relationship Id="rId2" Type="http://schemas.openxmlformats.org/officeDocument/2006/relationships/hyperlink" Target="https://www.digikey.com/en/products/detail/adafruit-industries-llc/4540/12323569" TargetMode="External"/><Relationship Id="rId16" Type="http://schemas.openxmlformats.org/officeDocument/2006/relationships/hyperlink" Target="https://www.mcmaster.com/8505K741-8505K115/" TargetMode="External"/><Relationship Id="rId20" Type="http://schemas.openxmlformats.org/officeDocument/2006/relationships/hyperlink" Target="https://www.amazon.com/AiFeelife-Portable-Universal-Expandable-Adjustable/dp/B0CTCNC1P1" TargetMode="External"/><Relationship Id="rId29" Type="http://schemas.openxmlformats.org/officeDocument/2006/relationships/hyperlink" Target="https://www.amazon.com/Stepper-Motor-Bipolar-64oz-Printer/dp/B00PNEQI7W" TargetMode="External"/><Relationship Id="rId1" Type="http://schemas.openxmlformats.org/officeDocument/2006/relationships/hyperlink" Target="https://www.mcmaster.com/8589K11/" TargetMode="External"/><Relationship Id="rId6" Type="http://schemas.openxmlformats.org/officeDocument/2006/relationships/hyperlink" Target="https://www.digikey.com/en/products/detail/adafruit-industries-llc/5691/18627502" TargetMode="External"/><Relationship Id="rId11" Type="http://schemas.openxmlformats.org/officeDocument/2006/relationships/hyperlink" Target="https://www.amazon.com/Bracket-Brackets-Furniture-Cabinet-20mmx20mm/dp/B09TP2S2WY" TargetMode="External"/><Relationship Id="rId24" Type="http://schemas.openxmlformats.org/officeDocument/2006/relationships/hyperlink" Target="https://www.amazon.com/dp/B0DPH23KP1" TargetMode="External"/><Relationship Id="rId32" Type="http://schemas.openxmlformats.org/officeDocument/2006/relationships/hyperlink" Target="https://www.amazon.com/California-JOS-Breadboard-Friendly-Mounting-Female/dp/B09XH1XJZT/?th=1" TargetMode="External"/><Relationship Id="rId5" Type="http://schemas.openxmlformats.org/officeDocument/2006/relationships/hyperlink" Target="https://www.digikey.com/en/products/detail/seeed-technology-co-ltd/102010328/11506471" TargetMode="External"/><Relationship Id="rId15" Type="http://schemas.openxmlformats.org/officeDocument/2006/relationships/hyperlink" Target="https://www.mcmaster.com/8505K741-8505K117/" TargetMode="External"/><Relationship Id="rId23" Type="http://schemas.openxmlformats.org/officeDocument/2006/relationships/hyperlink" Target="https://www.amazon.com/dp/B096KXQTYQ" TargetMode="External"/><Relationship Id="rId28" Type="http://schemas.openxmlformats.org/officeDocument/2006/relationships/hyperlink" Target="https://www.amazon.com/Assortment-Internal-Washers-Stainless-Threaded/dp/B0FHHL1W3X/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amazon.com/StarTech-com-6in-Mini-USB-Cable/dp/B003WV5DME" TargetMode="External"/><Relationship Id="rId19" Type="http://schemas.openxmlformats.org/officeDocument/2006/relationships/hyperlink" Target="https://www.mcmaster.com/91841A005/" TargetMode="External"/><Relationship Id="rId31" Type="http://schemas.openxmlformats.org/officeDocument/2006/relationships/hyperlink" Target="https://www.amazon.com/2-54MM-Breakaway-Connector-Arduino-Prototype/dp/B08DVGCTKT/" TargetMode="External"/><Relationship Id="rId4" Type="http://schemas.openxmlformats.org/officeDocument/2006/relationships/hyperlink" Target="https://www.digikey.com/en/products/detail/raspberry-pi/RASPBERRY-PI-4B-4GB/10258781" TargetMode="External"/><Relationship Id="rId9" Type="http://schemas.openxmlformats.org/officeDocument/2006/relationships/hyperlink" Target="https://www.amazon.com/Charging-Braided-iPhone-Samsung-Galaxy/dp/B0DPF8TFC9?th=1" TargetMode="External"/><Relationship Id="rId14" Type="http://schemas.openxmlformats.org/officeDocument/2006/relationships/hyperlink" Target="https://www.mcmaster.com/8505K755-8505K927/" TargetMode="External"/><Relationship Id="rId22" Type="http://schemas.openxmlformats.org/officeDocument/2006/relationships/hyperlink" Target="https://www.amazon.com/uxcell-Thread-Knurled-Clamping-Knobs/dp/B07KPGBXFC/?th=1" TargetMode="External"/><Relationship Id="rId27" Type="http://schemas.openxmlformats.org/officeDocument/2006/relationships/hyperlink" Target="https://www.amazon.com/dp/B0BLBLBP93" TargetMode="External"/><Relationship Id="rId30" Type="http://schemas.openxmlformats.org/officeDocument/2006/relationships/hyperlink" Target="https://www.amazon.com/Teyleten-Robot-TMC2209-Stepper-StepStick/dp/B09BK57KNY" TargetMode="External"/><Relationship Id="rId35" Type="http://schemas.openxmlformats.org/officeDocument/2006/relationships/hyperlink" Target="https://www.amazon.com/HiLetgo-Terminals-Position-Toggle-MTS-103/dp/B079JG2YSM" TargetMode="External"/><Relationship Id="rId8" Type="http://schemas.openxmlformats.org/officeDocument/2006/relationships/hyperlink" Target="https://www.amazon.com/gp/product/B0CS6FMXH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1" max="1" width="9.5" bestFit="1" customWidth="1"/>
    <col min="2" max="2" width="76.6640625" customWidth="1"/>
    <col min="5" max="5" width="14.1640625" bestFit="1" customWidth="1"/>
    <col min="7" max="7" width="20.83203125" bestFit="1" customWidth="1"/>
    <col min="8" max="8" width="83.5" customWidth="1"/>
  </cols>
  <sheetData>
    <row r="1" spans="1:8" x14ac:dyDescent="0.2">
      <c r="A1" t="s">
        <v>10</v>
      </c>
      <c r="B1" t="s">
        <v>66</v>
      </c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">
      <c r="A3" s="2">
        <v>1</v>
      </c>
      <c r="B3" s="2" t="s">
        <v>59</v>
      </c>
      <c r="C3" s="2">
        <v>1</v>
      </c>
      <c r="D3" s="2">
        <v>55</v>
      </c>
      <c r="E3" s="2" t="s">
        <v>58</v>
      </c>
      <c r="F3" s="2">
        <f>C3*D3</f>
        <v>55</v>
      </c>
      <c r="G3" s="2" t="s">
        <v>52</v>
      </c>
      <c r="H3" s="3" t="s">
        <v>57</v>
      </c>
    </row>
    <row r="4" spans="1:8" x14ac:dyDescent="0.2">
      <c r="A4" s="2">
        <f>A3+1</f>
        <v>2</v>
      </c>
      <c r="B4" s="2" t="s">
        <v>54</v>
      </c>
      <c r="C4" s="2">
        <v>1</v>
      </c>
      <c r="D4" s="2">
        <v>24.9</v>
      </c>
      <c r="E4" s="7" t="s">
        <v>55</v>
      </c>
      <c r="F4" s="2">
        <f t="shared" ref="F4:F9" si="0">C4*D4</f>
        <v>24.9</v>
      </c>
      <c r="G4" s="2" t="s">
        <v>52</v>
      </c>
      <c r="H4" s="8" t="s">
        <v>53</v>
      </c>
    </row>
    <row r="5" spans="1:8" x14ac:dyDescent="0.2">
      <c r="A5" s="2">
        <f t="shared" ref="A5:A9" si="1">A4+1</f>
        <v>3</v>
      </c>
      <c r="B5" s="2" t="s">
        <v>68</v>
      </c>
      <c r="C5" s="2">
        <v>1</v>
      </c>
      <c r="D5" s="2">
        <v>11.99</v>
      </c>
      <c r="E5" s="7" t="s">
        <v>70</v>
      </c>
      <c r="F5" s="2">
        <f t="shared" si="0"/>
        <v>11.99</v>
      </c>
      <c r="G5" s="2" t="s">
        <v>69</v>
      </c>
      <c r="H5" s="9" t="s">
        <v>67</v>
      </c>
    </row>
    <row r="6" spans="1:8" x14ac:dyDescent="0.2">
      <c r="A6" s="2">
        <f t="shared" si="1"/>
        <v>4</v>
      </c>
      <c r="B6" s="2" t="s">
        <v>75</v>
      </c>
      <c r="C6" s="2">
        <v>1</v>
      </c>
      <c r="D6" s="2">
        <v>7.99</v>
      </c>
      <c r="E6" s="7" t="s">
        <v>76</v>
      </c>
      <c r="F6" s="2">
        <f t="shared" si="0"/>
        <v>7.99</v>
      </c>
      <c r="G6" s="2" t="s">
        <v>69</v>
      </c>
      <c r="H6" s="9" t="s">
        <v>73</v>
      </c>
    </row>
    <row r="7" spans="1:8" x14ac:dyDescent="0.2">
      <c r="A7" s="17">
        <f t="shared" si="1"/>
        <v>5</v>
      </c>
      <c r="B7" s="17" t="s">
        <v>74</v>
      </c>
      <c r="C7" s="17">
        <v>1</v>
      </c>
      <c r="D7" s="17">
        <v>6.99</v>
      </c>
      <c r="E7" s="18" t="s">
        <v>72</v>
      </c>
      <c r="F7" s="17">
        <f t="shared" si="0"/>
        <v>6.99</v>
      </c>
      <c r="G7" s="17" t="s">
        <v>69</v>
      </c>
      <c r="H7" s="1" t="s">
        <v>71</v>
      </c>
    </row>
    <row r="8" spans="1:8" x14ac:dyDescent="0.2">
      <c r="A8" s="2">
        <f t="shared" si="1"/>
        <v>6</v>
      </c>
      <c r="B8" s="2" t="s">
        <v>107</v>
      </c>
      <c r="C8" s="2">
        <v>1</v>
      </c>
      <c r="D8" s="2">
        <v>31.99</v>
      </c>
      <c r="E8" s="7" t="s">
        <v>106</v>
      </c>
      <c r="F8" s="2">
        <f t="shared" si="0"/>
        <v>31.99</v>
      </c>
      <c r="G8" s="2" t="s">
        <v>69</v>
      </c>
      <c r="H8" s="3" t="s">
        <v>105</v>
      </c>
    </row>
    <row r="9" spans="1:8" x14ac:dyDescent="0.2">
      <c r="A9" s="2">
        <f t="shared" si="1"/>
        <v>7</v>
      </c>
      <c r="B9" s="2" t="s">
        <v>109</v>
      </c>
      <c r="C9" s="2">
        <v>1</v>
      </c>
      <c r="D9" s="2">
        <v>89.99</v>
      </c>
      <c r="E9" s="7" t="s">
        <v>110</v>
      </c>
      <c r="F9" s="2">
        <f t="shared" si="0"/>
        <v>89.99</v>
      </c>
      <c r="G9" s="2" t="s">
        <v>69</v>
      </c>
      <c r="H9" s="3" t="s">
        <v>108</v>
      </c>
    </row>
    <row r="11" spans="1:8" x14ac:dyDescent="0.2">
      <c r="A11" t="s">
        <v>10</v>
      </c>
      <c r="B11" t="s">
        <v>51</v>
      </c>
    </row>
    <row r="12" spans="1:8" x14ac:dyDescent="0.2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</row>
    <row r="13" spans="1:8" x14ac:dyDescent="0.2">
      <c r="A13" s="2">
        <v>1</v>
      </c>
      <c r="B13" s="2" t="s">
        <v>113</v>
      </c>
      <c r="C13" s="2">
        <v>3</v>
      </c>
      <c r="D13" s="2">
        <v>12.99</v>
      </c>
      <c r="E13" s="2" t="s">
        <v>112</v>
      </c>
      <c r="F13" s="2">
        <f t="shared" ref="F13:F18" si="2">C13*D13</f>
        <v>38.97</v>
      </c>
      <c r="G13" s="2" t="s">
        <v>69</v>
      </c>
      <c r="H13" s="3" t="s">
        <v>111</v>
      </c>
    </row>
    <row r="14" spans="1:8" x14ac:dyDescent="0.2">
      <c r="A14" s="2">
        <f t="shared" ref="A14:A19" si="3">A13+1</f>
        <v>2</v>
      </c>
      <c r="B14" s="2" t="s">
        <v>117</v>
      </c>
      <c r="C14" s="2">
        <v>1</v>
      </c>
      <c r="D14" s="2">
        <v>19.88</v>
      </c>
      <c r="E14" s="2" t="s">
        <v>118</v>
      </c>
      <c r="F14" s="2">
        <f t="shared" si="2"/>
        <v>19.88</v>
      </c>
      <c r="G14" s="2" t="s">
        <v>69</v>
      </c>
      <c r="H14" s="3" t="s">
        <v>116</v>
      </c>
    </row>
    <row r="15" spans="1:8" ht="16" x14ac:dyDescent="0.2">
      <c r="A15" s="2">
        <f t="shared" si="3"/>
        <v>3</v>
      </c>
      <c r="B15" s="4" t="s">
        <v>56</v>
      </c>
      <c r="C15" s="2">
        <v>1</v>
      </c>
      <c r="D15" s="2">
        <v>6.89</v>
      </c>
      <c r="E15" s="2" t="s">
        <v>120</v>
      </c>
      <c r="F15" s="2">
        <f t="shared" si="2"/>
        <v>6.89</v>
      </c>
      <c r="G15" s="2" t="s">
        <v>69</v>
      </c>
      <c r="H15" s="3" t="s">
        <v>119</v>
      </c>
    </row>
    <row r="16" spans="1:8" x14ac:dyDescent="0.2">
      <c r="A16" s="2">
        <f t="shared" si="3"/>
        <v>4</v>
      </c>
      <c r="B16" s="2" t="s">
        <v>153</v>
      </c>
      <c r="C16" s="2">
        <v>1</v>
      </c>
      <c r="D16" s="2">
        <v>6.99</v>
      </c>
      <c r="E16" s="7" t="s">
        <v>122</v>
      </c>
      <c r="F16" s="2">
        <f t="shared" si="2"/>
        <v>6.99</v>
      </c>
      <c r="G16" s="2" t="s">
        <v>69</v>
      </c>
      <c r="H16" s="8" t="s">
        <v>121</v>
      </c>
    </row>
    <row r="17" spans="1:8" x14ac:dyDescent="0.2">
      <c r="A17" s="2">
        <f t="shared" si="3"/>
        <v>5</v>
      </c>
      <c r="B17" s="2" t="s">
        <v>127</v>
      </c>
      <c r="C17" s="2">
        <v>1</v>
      </c>
      <c r="D17" s="2">
        <v>8.99</v>
      </c>
      <c r="E17" s="7" t="s">
        <v>128</v>
      </c>
      <c r="F17" s="2">
        <f t="shared" si="2"/>
        <v>8.99</v>
      </c>
      <c r="G17" s="2" t="s">
        <v>69</v>
      </c>
      <c r="H17" s="8" t="s">
        <v>126</v>
      </c>
    </row>
    <row r="18" spans="1:8" x14ac:dyDescent="0.2">
      <c r="A18" s="2">
        <f t="shared" si="3"/>
        <v>6</v>
      </c>
      <c r="B18" s="2" t="s">
        <v>125</v>
      </c>
      <c r="C18" s="2">
        <v>1</v>
      </c>
      <c r="D18" s="2">
        <v>7.49</v>
      </c>
      <c r="E18" s="7" t="s">
        <v>124</v>
      </c>
      <c r="F18" s="2">
        <f t="shared" si="2"/>
        <v>7.49</v>
      </c>
      <c r="G18" s="2" t="s">
        <v>69</v>
      </c>
      <c r="H18" s="8" t="s">
        <v>123</v>
      </c>
    </row>
    <row r="19" spans="1:8" x14ac:dyDescent="0.2">
      <c r="A19" s="2">
        <f t="shared" si="3"/>
        <v>7</v>
      </c>
      <c r="B19" s="2" t="s">
        <v>154</v>
      </c>
      <c r="C19" s="2">
        <v>1</v>
      </c>
      <c r="D19" s="2">
        <v>10.4</v>
      </c>
      <c r="E19" s="7" t="s">
        <v>155</v>
      </c>
      <c r="F19" s="2">
        <v>10.4</v>
      </c>
      <c r="G19" s="2" t="s">
        <v>52</v>
      </c>
      <c r="H19" s="8" t="s">
        <v>156</v>
      </c>
    </row>
    <row r="20" spans="1:8" x14ac:dyDescent="0.2">
      <c r="B20" s="5"/>
      <c r="H20" s="6"/>
    </row>
    <row r="21" spans="1:8" x14ac:dyDescent="0.2">
      <c r="B21" s="5"/>
      <c r="H21" s="6"/>
    </row>
    <row r="22" spans="1:8" x14ac:dyDescent="0.2">
      <c r="A22" t="s">
        <v>10</v>
      </c>
      <c r="B22" t="s">
        <v>60</v>
      </c>
    </row>
    <row r="23" spans="1:8" x14ac:dyDescent="0.2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</row>
    <row r="24" spans="1:8" x14ac:dyDescent="0.2">
      <c r="A24" s="2">
        <v>1</v>
      </c>
      <c r="B24" s="20" t="s">
        <v>158</v>
      </c>
      <c r="C24" s="2">
        <v>1</v>
      </c>
      <c r="D24" s="2">
        <v>24.95</v>
      </c>
      <c r="E24" s="2" t="s">
        <v>159</v>
      </c>
      <c r="F24" s="2">
        <f>C24*D24</f>
        <v>24.95</v>
      </c>
      <c r="G24" s="2" t="s">
        <v>52</v>
      </c>
      <c r="H24" s="3" t="s">
        <v>157</v>
      </c>
    </row>
    <row r="25" spans="1:8" x14ac:dyDescent="0.2">
      <c r="A25" s="2">
        <f>A24+1</f>
        <v>2</v>
      </c>
      <c r="B25" s="20" t="s">
        <v>162</v>
      </c>
      <c r="C25" s="2">
        <v>1</v>
      </c>
      <c r="D25" s="2">
        <v>17.95</v>
      </c>
      <c r="E25" s="2" t="s">
        <v>160</v>
      </c>
      <c r="F25" s="2">
        <f t="shared" ref="F25:F27" si="4">C25*D25</f>
        <v>17.95</v>
      </c>
      <c r="G25" s="2" t="s">
        <v>52</v>
      </c>
      <c r="H25" s="3" t="s">
        <v>161</v>
      </c>
    </row>
    <row r="26" spans="1:8" ht="16" x14ac:dyDescent="0.2">
      <c r="A26" s="2">
        <f>A25+1</f>
        <v>3</v>
      </c>
      <c r="B26" s="21" t="s">
        <v>12</v>
      </c>
      <c r="C26" s="2">
        <v>1</v>
      </c>
      <c r="D26" s="2">
        <v>3.95</v>
      </c>
      <c r="E26" s="2" t="s">
        <v>65</v>
      </c>
      <c r="F26" s="2">
        <f t="shared" si="4"/>
        <v>3.95</v>
      </c>
      <c r="G26" s="2" t="s">
        <v>52</v>
      </c>
      <c r="H26" s="3" t="s">
        <v>11</v>
      </c>
    </row>
    <row r="27" spans="1:8" ht="16" x14ac:dyDescent="0.2">
      <c r="A27" s="2">
        <f>A26+1</f>
        <v>4</v>
      </c>
      <c r="B27" s="4" t="s">
        <v>164</v>
      </c>
      <c r="C27" s="19">
        <v>1</v>
      </c>
      <c r="D27" s="19">
        <v>0.95</v>
      </c>
      <c r="E27" s="19" t="s">
        <v>163</v>
      </c>
      <c r="F27" s="2">
        <f t="shared" si="4"/>
        <v>0.95</v>
      </c>
      <c r="G27" s="19" t="s">
        <v>52</v>
      </c>
      <c r="H27" s="3" t="s">
        <v>165</v>
      </c>
    </row>
    <row r="28" spans="1:8" x14ac:dyDescent="0.2">
      <c r="B28" s="5"/>
      <c r="H28" s="6"/>
    </row>
    <row r="29" spans="1:8" x14ac:dyDescent="0.2">
      <c r="A29" s="11" t="s">
        <v>10</v>
      </c>
      <c r="B29" s="11" t="s">
        <v>61</v>
      </c>
      <c r="C29" s="11"/>
      <c r="D29" s="11"/>
      <c r="E29" s="11"/>
      <c r="F29" s="11"/>
      <c r="G29" s="11"/>
      <c r="H29" s="11"/>
    </row>
    <row r="30" spans="1:8" x14ac:dyDescent="0.2">
      <c r="A30" s="12" t="s">
        <v>1</v>
      </c>
      <c r="B30" s="13" t="s">
        <v>2</v>
      </c>
      <c r="C30" s="13" t="s">
        <v>3</v>
      </c>
      <c r="D30" s="13" t="s">
        <v>4</v>
      </c>
      <c r="E30" s="13" t="s">
        <v>5</v>
      </c>
      <c r="F30" s="13" t="s">
        <v>6</v>
      </c>
      <c r="G30" s="13" t="s">
        <v>7</v>
      </c>
      <c r="H30" s="13" t="s">
        <v>8</v>
      </c>
    </row>
    <row r="31" spans="1:8" x14ac:dyDescent="0.2">
      <c r="A31" s="14">
        <v>1</v>
      </c>
      <c r="B31" s="15" t="s">
        <v>63</v>
      </c>
      <c r="C31" s="15">
        <v>1</v>
      </c>
      <c r="D31" s="15">
        <v>5.4</v>
      </c>
      <c r="E31" s="15" t="s">
        <v>64</v>
      </c>
      <c r="F31" s="15">
        <f>C31*D31</f>
        <v>5.4</v>
      </c>
      <c r="G31" s="2" t="s">
        <v>52</v>
      </c>
      <c r="H31" s="16" t="s">
        <v>62</v>
      </c>
    </row>
    <row r="32" spans="1:8" ht="16" x14ac:dyDescent="0.2">
      <c r="A32" s="2">
        <f>A31+1</f>
        <v>2</v>
      </c>
      <c r="B32" s="4" t="s">
        <v>77</v>
      </c>
      <c r="C32" s="2">
        <v>1</v>
      </c>
      <c r="D32" s="2"/>
      <c r="E32" s="2" t="s">
        <v>18</v>
      </c>
      <c r="F32" s="2"/>
      <c r="G32" s="2"/>
      <c r="H32" s="3"/>
    </row>
    <row r="34" spans="1:8" x14ac:dyDescent="0.2">
      <c r="A34" t="s">
        <v>0</v>
      </c>
      <c r="B34" t="s">
        <v>87</v>
      </c>
    </row>
    <row r="35" spans="1:8" x14ac:dyDescent="0.2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/>
      <c r="G35" s="2" t="s">
        <v>7</v>
      </c>
      <c r="H35" s="2" t="s">
        <v>8</v>
      </c>
    </row>
    <row r="36" spans="1:8" x14ac:dyDescent="0.2">
      <c r="A36" s="2"/>
      <c r="B36" s="2" t="s">
        <v>15</v>
      </c>
      <c r="C36" s="2">
        <v>7</v>
      </c>
      <c r="D36" s="2">
        <v>21.13</v>
      </c>
      <c r="E36" s="2" t="s">
        <v>16</v>
      </c>
      <c r="F36" s="2">
        <f>C36*D36</f>
        <v>147.91</v>
      </c>
      <c r="G36" s="2" t="s">
        <v>9</v>
      </c>
      <c r="H36" s="8" t="s">
        <v>14</v>
      </c>
    </row>
    <row r="37" spans="1:8" x14ac:dyDescent="0.2">
      <c r="A37" s="2"/>
      <c r="B37" s="2" t="s">
        <v>49</v>
      </c>
      <c r="C37" s="2">
        <v>1</v>
      </c>
      <c r="D37" s="2">
        <v>5.14</v>
      </c>
      <c r="E37" s="2" t="s">
        <v>50</v>
      </c>
      <c r="F37" s="2">
        <f t="shared" ref="F37:F45" si="5">C37*D37</f>
        <v>5.14</v>
      </c>
      <c r="G37" s="2" t="s">
        <v>9</v>
      </c>
      <c r="H37" s="3" t="s">
        <v>48</v>
      </c>
    </row>
    <row r="38" spans="1:8" ht="16" x14ac:dyDescent="0.2">
      <c r="A38" s="2"/>
      <c r="B38" s="4" t="s">
        <v>89</v>
      </c>
      <c r="C38" s="2">
        <v>1</v>
      </c>
      <c r="D38" s="2">
        <v>9.65</v>
      </c>
      <c r="E38" s="2"/>
      <c r="F38" s="2">
        <f t="shared" si="5"/>
        <v>9.65</v>
      </c>
      <c r="G38" s="2" t="s">
        <v>9</v>
      </c>
      <c r="H38" s="3" t="s">
        <v>92</v>
      </c>
    </row>
    <row r="39" spans="1:8" ht="16" x14ac:dyDescent="0.2">
      <c r="A39" s="2"/>
      <c r="B39" s="4" t="s">
        <v>88</v>
      </c>
      <c r="C39" s="2">
        <v>1</v>
      </c>
      <c r="D39" s="2">
        <v>9.65</v>
      </c>
      <c r="E39" s="2" t="s">
        <v>90</v>
      </c>
      <c r="F39" s="2">
        <f t="shared" si="5"/>
        <v>9.65</v>
      </c>
      <c r="G39" s="2" t="s">
        <v>9</v>
      </c>
      <c r="H39" s="3" t="s">
        <v>91</v>
      </c>
    </row>
    <row r="40" spans="1:8" ht="16" x14ac:dyDescent="0.2">
      <c r="A40" s="2"/>
      <c r="B40" s="4" t="s">
        <v>81</v>
      </c>
      <c r="C40" s="2">
        <v>1</v>
      </c>
      <c r="D40" s="2">
        <v>9.99</v>
      </c>
      <c r="E40" s="2" t="s">
        <v>78</v>
      </c>
      <c r="F40" s="2">
        <f t="shared" si="5"/>
        <v>9.99</v>
      </c>
      <c r="G40" s="2" t="s">
        <v>69</v>
      </c>
      <c r="H40" s="3" t="s">
        <v>79</v>
      </c>
    </row>
    <row r="41" spans="1:8" x14ac:dyDescent="0.2">
      <c r="A41" s="2"/>
      <c r="B41" s="2" t="s">
        <v>80</v>
      </c>
      <c r="C41" s="2">
        <v>1</v>
      </c>
      <c r="D41" s="2">
        <v>15.99</v>
      </c>
      <c r="E41" s="2" t="s">
        <v>82</v>
      </c>
      <c r="F41" s="2">
        <f t="shared" si="5"/>
        <v>15.99</v>
      </c>
      <c r="G41" s="2" t="s">
        <v>69</v>
      </c>
      <c r="H41" s="3" t="s">
        <v>83</v>
      </c>
    </row>
    <row r="42" spans="1:8" ht="16" x14ac:dyDescent="0.2">
      <c r="A42" s="2"/>
      <c r="B42" s="4" t="s">
        <v>84</v>
      </c>
      <c r="C42" s="2">
        <v>2</v>
      </c>
      <c r="D42" s="2">
        <v>14.99</v>
      </c>
      <c r="E42" s="2" t="s">
        <v>85</v>
      </c>
      <c r="F42" s="2">
        <f t="shared" si="5"/>
        <v>29.98</v>
      </c>
      <c r="G42" s="2" t="s">
        <v>69</v>
      </c>
      <c r="H42" s="3" t="s">
        <v>86</v>
      </c>
    </row>
    <row r="43" spans="1:8" ht="16" x14ac:dyDescent="0.2">
      <c r="A43" s="2"/>
      <c r="B43" s="4" t="s">
        <v>95</v>
      </c>
      <c r="C43" s="2">
        <v>1</v>
      </c>
      <c r="D43" s="2">
        <v>6.2</v>
      </c>
      <c r="E43" s="2" t="s">
        <v>98</v>
      </c>
      <c r="F43" s="2">
        <f t="shared" si="5"/>
        <v>6.2</v>
      </c>
      <c r="G43" s="2" t="s">
        <v>9</v>
      </c>
      <c r="H43" s="3" t="s">
        <v>93</v>
      </c>
    </row>
    <row r="44" spans="1:8" ht="16" x14ac:dyDescent="0.2">
      <c r="A44" s="2"/>
      <c r="B44" s="4" t="s">
        <v>96</v>
      </c>
      <c r="C44" s="2">
        <v>1</v>
      </c>
      <c r="D44" s="2">
        <v>6.41</v>
      </c>
      <c r="E44" s="2" t="s">
        <v>97</v>
      </c>
      <c r="F44" s="2">
        <f t="shared" si="5"/>
        <v>6.41</v>
      </c>
      <c r="G44" s="2" t="s">
        <v>9</v>
      </c>
      <c r="H44" s="3" t="s">
        <v>94</v>
      </c>
    </row>
    <row r="45" spans="1:8" ht="16" x14ac:dyDescent="0.2">
      <c r="A45" s="2"/>
      <c r="B45" s="4" t="s">
        <v>100</v>
      </c>
      <c r="C45" s="2">
        <v>1</v>
      </c>
      <c r="D45" s="2">
        <v>3.69</v>
      </c>
      <c r="E45" s="2" t="s">
        <v>101</v>
      </c>
      <c r="F45" s="2">
        <f t="shared" si="5"/>
        <v>3.69</v>
      </c>
      <c r="G45" s="2" t="s">
        <v>9</v>
      </c>
      <c r="H45" s="3" t="s">
        <v>99</v>
      </c>
    </row>
    <row r="46" spans="1:8" x14ac:dyDescent="0.2">
      <c r="B46" s="5"/>
      <c r="H46" s="1"/>
    </row>
    <row r="47" spans="1:8" x14ac:dyDescent="0.2">
      <c r="A47" t="s">
        <v>0</v>
      </c>
      <c r="B47" t="s">
        <v>134</v>
      </c>
    </row>
    <row r="48" spans="1:8" x14ac:dyDescent="0.2">
      <c r="A48" s="2" t="s">
        <v>1</v>
      </c>
      <c r="B48" s="2" t="s">
        <v>2</v>
      </c>
      <c r="C48" s="2" t="s">
        <v>3</v>
      </c>
      <c r="D48" s="2" t="s">
        <v>4</v>
      </c>
      <c r="E48" s="2" t="s">
        <v>5</v>
      </c>
      <c r="F48" s="2"/>
      <c r="G48" s="2" t="s">
        <v>7</v>
      </c>
      <c r="H48" s="2" t="s">
        <v>8</v>
      </c>
    </row>
    <row r="49" spans="1:8" x14ac:dyDescent="0.2">
      <c r="A49" s="2"/>
      <c r="B49" s="2" t="s">
        <v>135</v>
      </c>
      <c r="C49" s="2">
        <v>1</v>
      </c>
      <c r="D49" s="2">
        <v>9.49</v>
      </c>
      <c r="E49" s="2" t="s">
        <v>143</v>
      </c>
      <c r="F49" s="2">
        <f>C49*D49</f>
        <v>9.49</v>
      </c>
      <c r="G49" s="2" t="s">
        <v>69</v>
      </c>
      <c r="H49" s="3" t="s">
        <v>136</v>
      </c>
    </row>
    <row r="50" spans="1:8" x14ac:dyDescent="0.2">
      <c r="A50" s="2"/>
      <c r="B50" s="2" t="s">
        <v>138</v>
      </c>
      <c r="C50" s="2">
        <v>1</v>
      </c>
      <c r="D50" s="2">
        <v>6.69</v>
      </c>
      <c r="E50" s="2" t="s">
        <v>139</v>
      </c>
      <c r="F50" s="2"/>
      <c r="G50" s="2" t="s">
        <v>69</v>
      </c>
      <c r="H50" s="3" t="s">
        <v>137</v>
      </c>
    </row>
    <row r="51" spans="1:8" x14ac:dyDescent="0.2">
      <c r="A51" s="2"/>
      <c r="B51" s="2" t="s">
        <v>142</v>
      </c>
      <c r="C51" s="2">
        <v>1</v>
      </c>
      <c r="D51" s="2">
        <v>17.09</v>
      </c>
      <c r="E51" s="2" t="s">
        <v>141</v>
      </c>
      <c r="F51" s="2"/>
      <c r="G51" s="2" t="s">
        <v>69</v>
      </c>
      <c r="H51" s="3" t="s">
        <v>140</v>
      </c>
    </row>
    <row r="52" spans="1:8" x14ac:dyDescent="0.2">
      <c r="A52" s="2"/>
      <c r="B52" s="2" t="s">
        <v>144</v>
      </c>
      <c r="C52" s="2">
        <v>1</v>
      </c>
      <c r="D52" s="2">
        <v>9.99</v>
      </c>
      <c r="E52" s="2" t="s">
        <v>114</v>
      </c>
      <c r="F52" s="2"/>
      <c r="G52" s="2"/>
      <c r="H52" s="3" t="s">
        <v>145</v>
      </c>
    </row>
    <row r="53" spans="1:8" x14ac:dyDescent="0.2">
      <c r="A53" s="2"/>
      <c r="B53" s="2" t="s">
        <v>146</v>
      </c>
      <c r="C53" s="2">
        <v>1</v>
      </c>
      <c r="D53" s="2">
        <v>6.99</v>
      </c>
      <c r="E53" s="2" t="s">
        <v>115</v>
      </c>
      <c r="F53" s="2"/>
      <c r="G53" s="2"/>
      <c r="H53" s="3" t="s">
        <v>147</v>
      </c>
    </row>
    <row r="54" spans="1:8" x14ac:dyDescent="0.2">
      <c r="A54" s="2"/>
      <c r="B54" s="2" t="s">
        <v>150</v>
      </c>
      <c r="C54" s="2">
        <v>1</v>
      </c>
      <c r="D54" s="2">
        <v>8.99</v>
      </c>
      <c r="E54" s="2" t="s">
        <v>149</v>
      </c>
      <c r="F54" s="2"/>
      <c r="G54" s="2"/>
      <c r="H54" s="3" t="s">
        <v>148</v>
      </c>
    </row>
    <row r="55" spans="1:8" x14ac:dyDescent="0.2">
      <c r="A55" s="2"/>
      <c r="B55" s="2" t="s">
        <v>104</v>
      </c>
      <c r="C55" s="2">
        <v>1</v>
      </c>
      <c r="D55" s="2">
        <v>12.29</v>
      </c>
      <c r="E55" s="2" t="s">
        <v>103</v>
      </c>
      <c r="F55" s="2">
        <f>C55*D55</f>
        <v>12.29</v>
      </c>
      <c r="G55" s="2" t="s">
        <v>69</v>
      </c>
      <c r="H55" s="3" t="s">
        <v>102</v>
      </c>
    </row>
    <row r="56" spans="1:8" x14ac:dyDescent="0.2">
      <c r="A56" s="2"/>
      <c r="B56" s="2" t="s">
        <v>17</v>
      </c>
      <c r="C56" s="2">
        <v>1</v>
      </c>
      <c r="D56" s="2"/>
      <c r="E56" s="2" t="s">
        <v>18</v>
      </c>
      <c r="F56" s="2">
        <f>C56*D56</f>
        <v>0</v>
      </c>
      <c r="G56" s="2"/>
      <c r="H56" s="3"/>
    </row>
    <row r="57" spans="1:8" x14ac:dyDescent="0.2">
      <c r="A57" s="2"/>
      <c r="B57" s="2"/>
      <c r="C57" s="2"/>
      <c r="D57" s="2"/>
      <c r="E57" s="2"/>
      <c r="F57" s="2"/>
      <c r="G57" s="2"/>
      <c r="H57" s="3"/>
    </row>
    <row r="60" spans="1:8" x14ac:dyDescent="0.2">
      <c r="E60" t="s">
        <v>13</v>
      </c>
      <c r="F60">
        <f>SUM(F3:F58)</f>
        <v>648.04999999999984</v>
      </c>
    </row>
    <row r="70" spans="8:8" x14ac:dyDescent="0.2">
      <c r="H70" s="6"/>
    </row>
    <row r="71" spans="8:8" x14ac:dyDescent="0.2">
      <c r="H71" s="6"/>
    </row>
    <row r="72" spans="8:8" x14ac:dyDescent="0.2">
      <c r="H72" s="6"/>
    </row>
    <row r="73" spans="8:8" x14ac:dyDescent="0.2">
      <c r="H73" s="6"/>
    </row>
    <row r="74" spans="8:8" x14ac:dyDescent="0.2">
      <c r="H74" s="6"/>
    </row>
    <row r="75" spans="8:8" x14ac:dyDescent="0.2">
      <c r="H75" s="6"/>
    </row>
    <row r="76" spans="8:8" x14ac:dyDescent="0.2">
      <c r="H76" s="6"/>
    </row>
  </sheetData>
  <hyperlinks>
    <hyperlink ref="H37" r:id="rId1" xr:uid="{835118DB-F794-7941-BEB3-A50BB95D1701}"/>
    <hyperlink ref="H26" r:id="rId2" xr:uid="{7A6F4A79-4DA6-564D-B998-55552CEB6B08}"/>
    <hyperlink ref="H4" r:id="rId3" xr:uid="{FAAD29BA-34B7-1D41-9E69-586E54E14FC8}"/>
    <hyperlink ref="H3" r:id="rId4" xr:uid="{C59E9856-CCEE-1245-8754-8A2367785095}"/>
    <hyperlink ref="H31" r:id="rId5" xr:uid="{536D0B01-0066-BB40-9024-F8F75FC760C3}"/>
    <hyperlink ref="H24" r:id="rId6" xr:uid="{CD8889CA-470A-5B45-A584-53E59D730888}"/>
    <hyperlink ref="H25" r:id="rId7" xr:uid="{3332DC8B-1836-AA43-B12D-47AF1A9ADB45}"/>
    <hyperlink ref="H5" r:id="rId8" xr:uid="{9CC180F9-0823-CD48-8BEC-34FFF6BFBE2A}"/>
    <hyperlink ref="H7" r:id="rId9" xr:uid="{6F1804AA-010E-BA47-BB2C-4DB9787A096B}"/>
    <hyperlink ref="H6" r:id="rId10" xr:uid="{605067D0-36AC-FC4C-BF2C-93238E3DE100}"/>
    <hyperlink ref="H40" r:id="rId11" xr:uid="{1DFBFFDB-35F2-8840-8291-DFFE5BCD9751}"/>
    <hyperlink ref="H41" r:id="rId12" xr:uid="{FDBDEC55-434F-054E-9041-3DA3E9C46C88}"/>
    <hyperlink ref="H42" r:id="rId13" xr:uid="{AF1CE6D5-3B0B-E74D-9187-069B5E71026E}"/>
    <hyperlink ref="H36" r:id="rId14" xr:uid="{16BF5847-7290-8548-8454-1DE58EABE1CA}"/>
    <hyperlink ref="H38" r:id="rId15" xr:uid="{D5F1188A-1192-E641-9888-AB87C35F378E}"/>
    <hyperlink ref="H39" r:id="rId16" xr:uid="{73C42B54-A324-1E4D-94C1-055C0436FA47}"/>
    <hyperlink ref="H43" r:id="rId17" xr:uid="{3BB8C3DC-0C02-E546-B957-BD7A12CE07D9}"/>
    <hyperlink ref="H44" r:id="rId18" xr:uid="{7D4E5FE4-4319-244A-9E63-79D89E552C18}"/>
    <hyperlink ref="H45" r:id="rId19" xr:uid="{D0C117C6-81E6-1E4D-A199-72530F46095D}"/>
    <hyperlink ref="H8" r:id="rId20" xr:uid="{97840DF5-C32F-D446-B016-C507F24F3DDF}"/>
    <hyperlink ref="H9" r:id="rId21" xr:uid="{5932D35D-59E1-1E45-B840-1B4006055868}"/>
    <hyperlink ref="H55" r:id="rId22" xr:uid="{CE4A89F6-D0D7-CA45-8A54-DEBC31B7C4A6}"/>
    <hyperlink ref="H49" r:id="rId23" xr:uid="{1F00893A-02C0-5C41-A1EB-739DA7F3E6AC}"/>
    <hyperlink ref="H50" r:id="rId24" xr:uid="{96220297-898D-AA4C-88C0-BFC7CE9738A4}"/>
    <hyperlink ref="H51" r:id="rId25" xr:uid="{98348940-B3B0-1D46-92B6-B624F4E84CB0}"/>
    <hyperlink ref="H52" r:id="rId26" xr:uid="{3CE4FDAE-B1F4-0C40-AC9D-29B27419D6B6}"/>
    <hyperlink ref="H53" r:id="rId27" xr:uid="{E207FFE9-E655-0B4A-B921-02CA4D2548DA}"/>
    <hyperlink ref="H54" r:id="rId28" xr:uid="{4DBE40C8-A220-A447-A0DE-D19C8208AE80}"/>
    <hyperlink ref="H13" r:id="rId29" xr:uid="{58D72F74-03CA-0740-9CB2-F8D2FB034482}"/>
    <hyperlink ref="H14" r:id="rId30" xr:uid="{9E9A7A98-0859-664D-9985-19189717E51C}"/>
    <hyperlink ref="H18" r:id="rId31" xr:uid="{A909D9E6-F527-3244-8304-702826B01470}"/>
    <hyperlink ref="H17" r:id="rId32" xr:uid="{99F979E9-9E9F-BA46-8779-E4B64F9CD13D}"/>
    <hyperlink ref="H16" r:id="rId33" xr:uid="{0B44DDEB-81CD-CF4F-AC3E-3751004044E4}"/>
    <hyperlink ref="H19" r:id="rId34" xr:uid="{ECF22F7A-533A-9640-ACEA-1F1433B0503C}"/>
    <hyperlink ref="H15" r:id="rId35" xr:uid="{2AADAD96-9578-F940-9A03-B070BA55A022}"/>
  </hyperlinks>
  <pageMargins left="0.7" right="0.7" top="0.75" bottom="0.75" header="0.3" footer="0.3"/>
  <pageSetup orientation="portrait"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selection activeCell="J29" sqref="J29"/>
    </sheetView>
  </sheetViews>
  <sheetFormatPr baseColWidth="10" defaultColWidth="8.83203125" defaultRowHeight="15" x14ac:dyDescent="0.2"/>
  <cols>
    <col min="1" max="1" width="19.33203125" bestFit="1" customWidth="1"/>
    <col min="2" max="2" width="13" style="10" bestFit="1" customWidth="1"/>
  </cols>
  <sheetData>
    <row r="1" spans="1:4" x14ac:dyDescent="0.2">
      <c r="A1" t="s">
        <v>20</v>
      </c>
      <c r="B1" s="10" t="s">
        <v>45</v>
      </c>
      <c r="C1" s="10" t="s">
        <v>129</v>
      </c>
      <c r="D1" t="s">
        <v>21</v>
      </c>
    </row>
    <row r="2" spans="1:4" x14ac:dyDescent="0.2">
      <c r="A2" t="s">
        <v>19</v>
      </c>
      <c r="B2" s="10" t="s">
        <v>46</v>
      </c>
      <c r="C2" s="10" t="s">
        <v>130</v>
      </c>
      <c r="D2">
        <v>1</v>
      </c>
    </row>
    <row r="3" spans="1:4" x14ac:dyDescent="0.2">
      <c r="A3" t="s">
        <v>22</v>
      </c>
      <c r="B3" s="10" t="s">
        <v>46</v>
      </c>
      <c r="C3" s="10" t="s">
        <v>130</v>
      </c>
      <c r="D3">
        <v>1</v>
      </c>
    </row>
    <row r="4" spans="1:4" x14ac:dyDescent="0.2">
      <c r="A4" t="s">
        <v>23</v>
      </c>
      <c r="B4" s="10" t="s">
        <v>131</v>
      </c>
      <c r="C4" s="10" t="s">
        <v>132</v>
      </c>
      <c r="D4">
        <v>1</v>
      </c>
    </row>
    <row r="5" spans="1:4" x14ac:dyDescent="0.2">
      <c r="A5" t="s">
        <v>24</v>
      </c>
      <c r="B5" s="10" t="s">
        <v>46</v>
      </c>
      <c r="C5" s="10" t="s">
        <v>130</v>
      </c>
      <c r="D5">
        <v>1</v>
      </c>
    </row>
    <row r="6" spans="1:4" x14ac:dyDescent="0.2">
      <c r="A6" t="s">
        <v>25</v>
      </c>
      <c r="B6" s="10" t="s">
        <v>46</v>
      </c>
      <c r="C6" s="10" t="s">
        <v>130</v>
      </c>
      <c r="D6">
        <v>1</v>
      </c>
    </row>
    <row r="7" spans="1:4" x14ac:dyDescent="0.2">
      <c r="A7" t="s">
        <v>26</v>
      </c>
      <c r="B7" s="10" t="s">
        <v>131</v>
      </c>
      <c r="C7" s="10" t="s">
        <v>132</v>
      </c>
      <c r="D7">
        <v>1</v>
      </c>
    </row>
    <row r="8" spans="1:4" x14ac:dyDescent="0.2">
      <c r="A8" t="s">
        <v>27</v>
      </c>
      <c r="B8" s="10" t="s">
        <v>46</v>
      </c>
      <c r="C8" s="10" t="s">
        <v>130</v>
      </c>
      <c r="D8">
        <v>1</v>
      </c>
    </row>
    <row r="9" spans="1:4" x14ac:dyDescent="0.2">
      <c r="A9" t="s">
        <v>28</v>
      </c>
      <c r="B9" s="10" t="s">
        <v>46</v>
      </c>
      <c r="C9" s="10" t="s">
        <v>130</v>
      </c>
      <c r="D9">
        <v>1</v>
      </c>
    </row>
    <row r="10" spans="1:4" x14ac:dyDescent="0.2">
      <c r="A10" t="s">
        <v>29</v>
      </c>
      <c r="B10" s="10" t="s">
        <v>47</v>
      </c>
      <c r="C10" s="10" t="s">
        <v>130</v>
      </c>
      <c r="D10">
        <v>1</v>
      </c>
    </row>
    <row r="11" spans="1:4" x14ac:dyDescent="0.2">
      <c r="A11" t="s">
        <v>30</v>
      </c>
      <c r="B11" s="10" t="s">
        <v>46</v>
      </c>
      <c r="C11" s="10" t="s">
        <v>130</v>
      </c>
      <c r="D11">
        <v>1</v>
      </c>
    </row>
    <row r="12" spans="1:4" x14ac:dyDescent="0.2">
      <c r="A12" t="s">
        <v>31</v>
      </c>
      <c r="B12" s="10" t="s">
        <v>46</v>
      </c>
      <c r="C12" s="10" t="s">
        <v>130</v>
      </c>
      <c r="D12">
        <v>1</v>
      </c>
    </row>
    <row r="13" spans="1:4" x14ac:dyDescent="0.2">
      <c r="A13" t="s">
        <v>32</v>
      </c>
      <c r="B13" s="10" t="s">
        <v>47</v>
      </c>
      <c r="C13" s="10" t="s">
        <v>133</v>
      </c>
      <c r="D13">
        <v>1</v>
      </c>
    </row>
    <row r="14" spans="1:4" x14ac:dyDescent="0.2">
      <c r="A14" t="s">
        <v>33</v>
      </c>
      <c r="B14" s="10" t="s">
        <v>47</v>
      </c>
      <c r="C14" s="10" t="s">
        <v>130</v>
      </c>
      <c r="D14">
        <v>1</v>
      </c>
    </row>
    <row r="15" spans="1:4" x14ac:dyDescent="0.2">
      <c r="A15" t="s">
        <v>34</v>
      </c>
      <c r="B15" s="10" t="s">
        <v>46</v>
      </c>
      <c r="C15" s="10" t="s">
        <v>130</v>
      </c>
      <c r="D15">
        <v>1</v>
      </c>
    </row>
    <row r="16" spans="1:4" x14ac:dyDescent="0.2">
      <c r="A16" t="s">
        <v>35</v>
      </c>
      <c r="B16" s="10" t="s">
        <v>46</v>
      </c>
      <c r="C16" s="10" t="s">
        <v>130</v>
      </c>
      <c r="D16">
        <v>1</v>
      </c>
    </row>
    <row r="17" spans="1:4" x14ac:dyDescent="0.2">
      <c r="A17" t="s">
        <v>36</v>
      </c>
      <c r="B17" s="10" t="s">
        <v>46</v>
      </c>
      <c r="C17" s="10" t="s">
        <v>130</v>
      </c>
      <c r="D17">
        <v>2</v>
      </c>
    </row>
    <row r="18" spans="1:4" x14ac:dyDescent="0.2">
      <c r="A18" t="s">
        <v>41</v>
      </c>
      <c r="B18" s="10" t="s">
        <v>47</v>
      </c>
      <c r="C18" s="10" t="s">
        <v>130</v>
      </c>
      <c r="D18">
        <v>1</v>
      </c>
    </row>
    <row r="19" spans="1:4" x14ac:dyDescent="0.2">
      <c r="A19" t="s">
        <v>42</v>
      </c>
      <c r="B19" s="10" t="s">
        <v>46</v>
      </c>
      <c r="C19" s="10" t="s">
        <v>130</v>
      </c>
      <c r="D19">
        <v>1</v>
      </c>
    </row>
    <row r="20" spans="1:4" x14ac:dyDescent="0.2">
      <c r="A20" t="s">
        <v>43</v>
      </c>
      <c r="B20" s="10" t="s">
        <v>46</v>
      </c>
      <c r="C20" s="10" t="s">
        <v>130</v>
      </c>
      <c r="D20">
        <v>1</v>
      </c>
    </row>
    <row r="21" spans="1:4" x14ac:dyDescent="0.2">
      <c r="A21" t="s">
        <v>40</v>
      </c>
      <c r="B21" s="10" t="s">
        <v>47</v>
      </c>
      <c r="C21" s="10" t="s">
        <v>130</v>
      </c>
      <c r="D21">
        <v>1</v>
      </c>
    </row>
    <row r="22" spans="1:4" x14ac:dyDescent="0.2">
      <c r="A22" t="s">
        <v>44</v>
      </c>
      <c r="B22" s="10" t="s">
        <v>46</v>
      </c>
      <c r="C22" s="10" t="s">
        <v>130</v>
      </c>
      <c r="D22">
        <v>1</v>
      </c>
    </row>
    <row r="23" spans="1:4" x14ac:dyDescent="0.2">
      <c r="A23" t="s">
        <v>151</v>
      </c>
      <c r="B23" s="10" t="s">
        <v>46</v>
      </c>
      <c r="C23" s="10" t="s">
        <v>130</v>
      </c>
      <c r="D23">
        <v>1</v>
      </c>
    </row>
    <row r="24" spans="1:4" x14ac:dyDescent="0.2">
      <c r="A24" t="s">
        <v>152</v>
      </c>
      <c r="B24" s="10" t="s">
        <v>46</v>
      </c>
      <c r="C24" s="10" t="s">
        <v>130</v>
      </c>
      <c r="D24">
        <v>1</v>
      </c>
    </row>
    <row r="25" spans="1:4" x14ac:dyDescent="0.2">
      <c r="C25" s="10"/>
    </row>
    <row r="26" spans="1:4" x14ac:dyDescent="0.2">
      <c r="C26" s="10"/>
    </row>
    <row r="27" spans="1:4" x14ac:dyDescent="0.2">
      <c r="A27" t="s">
        <v>37</v>
      </c>
      <c r="B27" s="10" t="s">
        <v>47</v>
      </c>
      <c r="C27" s="10" t="s">
        <v>132</v>
      </c>
      <c r="D27">
        <v>1</v>
      </c>
    </row>
    <row r="28" spans="1:4" x14ac:dyDescent="0.2">
      <c r="A28" t="s">
        <v>38</v>
      </c>
      <c r="B28" s="10" t="s">
        <v>47</v>
      </c>
      <c r="C28" s="10" t="s">
        <v>132</v>
      </c>
      <c r="D28">
        <v>2</v>
      </c>
    </row>
    <row r="29" spans="1:4" x14ac:dyDescent="0.2">
      <c r="A29" t="s">
        <v>39</v>
      </c>
      <c r="B29" s="10" t="s">
        <v>47</v>
      </c>
      <c r="C29" s="10" t="s">
        <v>132</v>
      </c>
      <c r="D29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AcrylicSheet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2026-07-13T21:30:06Z</dcterms:modified>
  <cp:category/>
  <cp:contentStatus/>
</cp:coreProperties>
</file>